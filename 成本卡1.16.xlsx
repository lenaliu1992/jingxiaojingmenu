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6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29147</author>
  </authors>
  <commentList>
    <comment ref="C1" authorId="0">
      <text>
        <r>
          <rPr>
            <b/>
            <sz val="9"/>
            <rFont val="宋体"/>
            <charset val="134"/>
          </rPr>
          <t>29147:</t>
        </r>
        <r>
          <rPr>
            <sz val="9"/>
            <rFont val="宋体"/>
            <charset val="134"/>
          </rPr>
          <t xml:space="preserve">
包含打包盒</t>
        </r>
      </text>
    </comment>
  </commentList>
</comments>
</file>

<file path=xl/sharedStrings.xml><?xml version="1.0" encoding="utf-8"?>
<sst xmlns="http://schemas.openxmlformats.org/spreadsheetml/2006/main" count="65" uniqueCount="65">
  <si>
    <t>菜品名称</t>
  </si>
  <si>
    <t>售价</t>
  </si>
  <si>
    <t>成本</t>
  </si>
  <si>
    <t>毛利率</t>
  </si>
  <si>
    <t>招牌巴厘香蟹（小份）</t>
  </si>
  <si>
    <t>招牌巴厘香蟹（大份）</t>
  </si>
  <si>
    <t>云南油焖鸡</t>
  </si>
  <si>
    <t>有机花菜</t>
  </si>
  <si>
    <t>银耳汤</t>
  </si>
  <si>
    <t>新式沸腾鱼（小份）</t>
  </si>
  <si>
    <t>新式沸腾鱼（大份）</t>
  </si>
  <si>
    <t>小米虾滑</t>
  </si>
  <si>
    <t>小炒黄牛肉</t>
  </si>
  <si>
    <t>西红柿炖牛腩</t>
  </si>
  <si>
    <t>外婆红烧肉</t>
  </si>
  <si>
    <t>脱骨金沙带鱼（小份）</t>
  </si>
  <si>
    <t>脱骨金沙带鱼（大份）</t>
  </si>
  <si>
    <t>蒜蓉油麦菜</t>
  </si>
  <si>
    <t>蒜蓉深海黄鱼</t>
  </si>
  <si>
    <t>蒜蓉粉丝虾</t>
  </si>
  <si>
    <t>吮指猪蹄</t>
  </si>
  <si>
    <t>手撕包菜</t>
  </si>
  <si>
    <t>手打鱼丸</t>
  </si>
  <si>
    <t>山楂小排</t>
  </si>
  <si>
    <t>撒娇辣子鸡</t>
  </si>
  <si>
    <t>泉水玉米饭</t>
  </si>
  <si>
    <t>秋葵翠芽双椒</t>
  </si>
  <si>
    <t>清蒸蟹（小份）</t>
  </si>
  <si>
    <t>清蒸蟹（大份）</t>
  </si>
  <si>
    <t>柠檬酸菜鱼（小份）</t>
  </si>
  <si>
    <t>柠檬酸菜鱼（大份）</t>
  </si>
  <si>
    <t>秘制蟹（小份）</t>
  </si>
  <si>
    <t>秘制蟹（大份）</t>
  </si>
  <si>
    <t>秘制虾尾（大份）</t>
  </si>
  <si>
    <t>秘制虾尾（小份）</t>
  </si>
  <si>
    <t>梅干菜烧鸡爪</t>
  </si>
  <si>
    <t>梅菜扣肉</t>
  </si>
  <si>
    <t>麻辣干锅鸭头</t>
  </si>
  <si>
    <t>螺丝椒炒云南土腊肠</t>
  </si>
  <si>
    <t>辣子鸡</t>
  </si>
  <si>
    <t>咖喱饭</t>
  </si>
  <si>
    <t>静小静炒鸡</t>
  </si>
  <si>
    <t>经典沸腾鱼（小份）</t>
  </si>
  <si>
    <t>经典沸腾鱼（大份）</t>
  </si>
  <si>
    <t>金汤肥牛（大份）</t>
  </si>
  <si>
    <t>金汤肥牛（小份）</t>
  </si>
  <si>
    <t>胶原海笋</t>
  </si>
  <si>
    <t>酱汁笋尖</t>
  </si>
  <si>
    <t>黄焖山羊排</t>
  </si>
  <si>
    <t>花生煲鸡爪</t>
  </si>
  <si>
    <t>糊汤白菜炖羊鲜</t>
  </si>
  <si>
    <t>黑鸭煲</t>
  </si>
  <si>
    <t>海鲜毛血旺（小份）</t>
  </si>
  <si>
    <t>海鲜炒饭</t>
  </si>
  <si>
    <t>干锅鹿茸菌</t>
  </si>
  <si>
    <t>蛋黄焗玉米</t>
  </si>
  <si>
    <t>超级海鲜桶（小份）</t>
  </si>
  <si>
    <t>超级海鲜桶  (大份）</t>
  </si>
  <si>
    <t>馋嘴土豆片</t>
  </si>
  <si>
    <t>爆炒卤肥肠</t>
  </si>
  <si>
    <t>白灼罗马生菜</t>
  </si>
  <si>
    <t>孜然炙香实蛋</t>
  </si>
  <si>
    <t>100元代金券</t>
  </si>
  <si>
    <t>静小静儿童餐三次卡</t>
  </si>
  <si>
    <t>有效期三个月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</si>
</sst>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sz val="12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NumberFormat="1" applyFont="1" applyFill="1" applyBorder="1" applyAlignment="1"/>
    <xf numFmtId="0" fontId="1" fillId="0" borderId="1" xfId="0" applyFont="1" applyBorder="1" applyAlignment="1">
      <alignment vertical="center"/>
    </xf>
    <xf numFmtId="10" fontId="1" fillId="0" borderId="1" xfId="0" applyNumberFormat="1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9" fontId="0" fillId="0" borderId="1" xfId="3" applyBorder="1">
      <alignment vertical="center"/>
    </xf>
    <xf numFmtId="9" fontId="0" fillId="0" borderId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topLeftCell="A45" workbookViewId="0">
      <selection activeCell="E66" sqref="E66"/>
    </sheetView>
  </sheetViews>
  <sheetFormatPr defaultColWidth="9" defaultRowHeight="17.6" outlineLevelCol="4"/>
  <cols>
    <col min="1" max="1" width="26.2788461538462" style="1" customWidth="1"/>
    <col min="2" max="2" width="12" style="2" customWidth="1"/>
    <col min="3" max="3" width="14.5" style="2" customWidth="1"/>
    <col min="4" max="4" width="17.625" style="2" customWidth="1"/>
    <col min="5" max="5" width="20.6634615384615" style="2" customWidth="1"/>
    <col min="6" max="1638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5" t="s">
        <v>4</v>
      </c>
      <c r="B2" s="6">
        <v>105</v>
      </c>
      <c r="C2" s="6">
        <v>54</v>
      </c>
      <c r="D2" s="7">
        <f t="shared" ref="D2:D28" si="0">(B2-C2)/B2</f>
        <v>0.485714285714286</v>
      </c>
    </row>
    <row r="3" spans="1:4">
      <c r="A3" s="3" t="s">
        <v>5</v>
      </c>
      <c r="B3" s="6">
        <v>198</v>
      </c>
      <c r="C3" s="6">
        <v>79.5</v>
      </c>
      <c r="D3" s="7">
        <f t="shared" si="0"/>
        <v>0.598484848484849</v>
      </c>
    </row>
    <row r="4" spans="1:4">
      <c r="A4" s="5" t="s">
        <v>6</v>
      </c>
      <c r="B4" s="6">
        <v>68</v>
      </c>
      <c r="C4" s="6">
        <v>19.5</v>
      </c>
      <c r="D4" s="7">
        <f t="shared" si="0"/>
        <v>0.713235294117647</v>
      </c>
    </row>
    <row r="5" spans="1:4">
      <c r="A5" s="5" t="s">
        <v>7</v>
      </c>
      <c r="B5" s="6">
        <v>18</v>
      </c>
      <c r="C5" s="6">
        <v>6</v>
      </c>
      <c r="D5" s="7">
        <f t="shared" si="0"/>
        <v>0.666666666666667</v>
      </c>
    </row>
    <row r="6" spans="1:4">
      <c r="A6" s="3" t="s">
        <v>8</v>
      </c>
      <c r="B6" s="6">
        <v>5</v>
      </c>
      <c r="C6" s="6">
        <v>1</v>
      </c>
      <c r="D6" s="7">
        <f t="shared" si="0"/>
        <v>0.8</v>
      </c>
    </row>
    <row r="7" spans="1:4">
      <c r="A7" s="3" t="s">
        <v>9</v>
      </c>
      <c r="B7" s="6">
        <v>62</v>
      </c>
      <c r="C7" s="6">
        <v>28.5</v>
      </c>
      <c r="D7" s="7">
        <f t="shared" si="0"/>
        <v>0.540322580645161</v>
      </c>
    </row>
    <row r="8" spans="1:4">
      <c r="A8" s="3" t="s">
        <v>10</v>
      </c>
      <c r="B8" s="6">
        <v>90</v>
      </c>
      <c r="C8" s="6">
        <v>42.5</v>
      </c>
      <c r="D8" s="7">
        <f t="shared" si="0"/>
        <v>0.527777777777778</v>
      </c>
    </row>
    <row r="9" spans="1:4">
      <c r="A9" s="5" t="s">
        <v>11</v>
      </c>
      <c r="B9" s="6">
        <v>38</v>
      </c>
      <c r="C9" s="6">
        <v>14.5</v>
      </c>
      <c r="D9" s="7">
        <f t="shared" si="0"/>
        <v>0.618421052631579</v>
      </c>
    </row>
    <row r="10" spans="1:4">
      <c r="A10" s="5" t="s">
        <v>12</v>
      </c>
      <c r="B10" s="6">
        <v>58</v>
      </c>
      <c r="C10" s="6">
        <v>19.8</v>
      </c>
      <c r="D10" s="7">
        <f t="shared" si="0"/>
        <v>0.658620689655173</v>
      </c>
    </row>
    <row r="11" spans="1:4">
      <c r="A11" s="5" t="s">
        <v>13</v>
      </c>
      <c r="B11" s="6">
        <v>68</v>
      </c>
      <c r="C11" s="6">
        <v>32</v>
      </c>
      <c r="D11" s="7">
        <f t="shared" si="0"/>
        <v>0.529411764705882</v>
      </c>
    </row>
    <row r="12" spans="1:4">
      <c r="A12" s="5" t="s">
        <v>14</v>
      </c>
      <c r="B12" s="6">
        <v>68</v>
      </c>
      <c r="C12" s="6">
        <v>18.05</v>
      </c>
      <c r="D12" s="7">
        <f t="shared" si="0"/>
        <v>0.734558823529412</v>
      </c>
    </row>
    <row r="13" spans="1:4">
      <c r="A13" s="3" t="s">
        <v>15</v>
      </c>
      <c r="B13" s="6">
        <v>49</v>
      </c>
      <c r="C13" s="6">
        <v>21.75</v>
      </c>
      <c r="D13" s="7">
        <f t="shared" si="0"/>
        <v>0.556122448979592</v>
      </c>
    </row>
    <row r="14" spans="1:4">
      <c r="A14" s="5" t="s">
        <v>16</v>
      </c>
      <c r="B14" s="6">
        <v>90</v>
      </c>
      <c r="C14" s="6">
        <v>43.15</v>
      </c>
      <c r="D14" s="7">
        <f t="shared" si="0"/>
        <v>0.520555555555556</v>
      </c>
    </row>
    <row r="15" spans="1:4">
      <c r="A15" s="5" t="s">
        <v>17</v>
      </c>
      <c r="B15" s="6">
        <v>16</v>
      </c>
      <c r="C15" s="6">
        <v>8.35</v>
      </c>
      <c r="D15" s="7">
        <f t="shared" si="0"/>
        <v>0.478125</v>
      </c>
    </row>
    <row r="16" spans="1:4">
      <c r="A16" s="5" t="s">
        <v>18</v>
      </c>
      <c r="B16" s="6">
        <v>22</v>
      </c>
      <c r="C16" s="6">
        <v>14.45</v>
      </c>
      <c r="D16" s="7">
        <f t="shared" si="0"/>
        <v>0.343181818181818</v>
      </c>
    </row>
    <row r="17" spans="1:4">
      <c r="A17" s="5" t="s">
        <v>19</v>
      </c>
      <c r="B17" s="6">
        <v>48</v>
      </c>
      <c r="C17" s="6">
        <v>19.55</v>
      </c>
      <c r="D17" s="7">
        <f t="shared" si="0"/>
        <v>0.592708333333333</v>
      </c>
    </row>
    <row r="18" spans="1:4">
      <c r="A18" s="5" t="s">
        <v>20</v>
      </c>
      <c r="B18" s="6">
        <v>68</v>
      </c>
      <c r="C18" s="6">
        <v>29.8</v>
      </c>
      <c r="D18" s="7">
        <f t="shared" si="0"/>
        <v>0.561764705882353</v>
      </c>
    </row>
    <row r="19" spans="1:4">
      <c r="A19" s="5" t="s">
        <v>21</v>
      </c>
      <c r="B19" s="6">
        <v>22</v>
      </c>
      <c r="C19" s="6">
        <v>6.6</v>
      </c>
      <c r="D19" s="7">
        <f>(B19-C19)/B19</f>
        <v>0.7</v>
      </c>
    </row>
    <row r="20" spans="1:4">
      <c r="A20" s="5" t="s">
        <v>22</v>
      </c>
      <c r="B20" s="6">
        <v>58</v>
      </c>
      <c r="C20" s="6">
        <v>14.75</v>
      </c>
      <c r="D20" s="7">
        <f>(B20-C20)/B20</f>
        <v>0.745689655172414</v>
      </c>
    </row>
    <row r="21" spans="1:4">
      <c r="A21" s="5" t="s">
        <v>23</v>
      </c>
      <c r="B21" s="6">
        <v>68</v>
      </c>
      <c r="C21" s="6">
        <v>27.5</v>
      </c>
      <c r="D21" s="7">
        <f>(B21-C21)/B21</f>
        <v>0.595588235294118</v>
      </c>
    </row>
    <row r="22" spans="1:4">
      <c r="A22" s="5" t="s">
        <v>24</v>
      </c>
      <c r="B22" s="6">
        <v>58</v>
      </c>
      <c r="C22" s="6">
        <v>13.85</v>
      </c>
      <c r="D22" s="7">
        <f>(B22-C22)/B22</f>
        <v>0.761206896551724</v>
      </c>
    </row>
    <row r="23" spans="1:4">
      <c r="A23" s="5" t="s">
        <v>25</v>
      </c>
      <c r="B23" s="6">
        <v>3</v>
      </c>
      <c r="C23" s="6">
        <v>1</v>
      </c>
      <c r="D23" s="7">
        <f>(B23-C23)/B23</f>
        <v>0.666666666666667</v>
      </c>
    </row>
    <row r="24" spans="1:4">
      <c r="A24" s="3" t="s">
        <v>26</v>
      </c>
      <c r="B24" s="6">
        <v>29</v>
      </c>
      <c r="C24" s="6">
        <v>12.39</v>
      </c>
      <c r="D24" s="7">
        <f>(B24-C24)/B24</f>
        <v>0.572758620689655</v>
      </c>
    </row>
    <row r="25" spans="1:4">
      <c r="A25" s="3" t="s">
        <v>27</v>
      </c>
      <c r="B25" s="6">
        <v>105</v>
      </c>
      <c r="C25" s="6">
        <v>45.5</v>
      </c>
      <c r="D25" s="7">
        <f>(B25-C25)/B25</f>
        <v>0.566666666666667</v>
      </c>
    </row>
    <row r="26" spans="1:4">
      <c r="A26" s="3" t="s">
        <v>28</v>
      </c>
      <c r="B26" s="6">
        <v>198</v>
      </c>
      <c r="C26" s="6">
        <v>78</v>
      </c>
      <c r="D26" s="7">
        <f>(B26-C26)/B26</f>
        <v>0.606060606060606</v>
      </c>
    </row>
    <row r="27" spans="1:4">
      <c r="A27" s="3" t="s">
        <v>29</v>
      </c>
      <c r="B27" s="6">
        <v>48</v>
      </c>
      <c r="C27" s="6">
        <v>25.5</v>
      </c>
      <c r="D27" s="7">
        <f>(B27-C27)/B27</f>
        <v>0.46875</v>
      </c>
    </row>
    <row r="28" spans="1:4">
      <c r="A28" s="5" t="s">
        <v>30</v>
      </c>
      <c r="B28" s="6">
        <v>90</v>
      </c>
      <c r="C28" s="6">
        <v>38.5</v>
      </c>
      <c r="D28" s="7">
        <f>(B28-C28)/B28</f>
        <v>0.572222222222222</v>
      </c>
    </row>
    <row r="29" spans="1:4">
      <c r="A29" s="3" t="s">
        <v>31</v>
      </c>
      <c r="B29" s="6">
        <v>105</v>
      </c>
      <c r="C29" s="6">
        <v>41.5</v>
      </c>
      <c r="D29" s="7">
        <f t="shared" ref="D29:D42" si="1">(B29-C29)/B29</f>
        <v>0.604761904761905</v>
      </c>
    </row>
    <row r="30" spans="1:4">
      <c r="A30" s="3" t="s">
        <v>32</v>
      </c>
      <c r="B30" s="6">
        <v>198</v>
      </c>
      <c r="C30" s="6">
        <v>83</v>
      </c>
      <c r="D30" s="7">
        <f t="shared" si="1"/>
        <v>0.580808080808081</v>
      </c>
    </row>
    <row r="31" spans="1:4">
      <c r="A31" s="5" t="s">
        <v>33</v>
      </c>
      <c r="B31" s="6">
        <v>108</v>
      </c>
      <c r="C31" s="6">
        <v>42.95</v>
      </c>
      <c r="D31" s="7">
        <f t="shared" si="1"/>
        <v>0.602314814814815</v>
      </c>
    </row>
    <row r="32" spans="1:4">
      <c r="A32" s="5" t="s">
        <v>34</v>
      </c>
      <c r="B32" s="6">
        <v>68</v>
      </c>
      <c r="C32" s="6">
        <v>24.5</v>
      </c>
      <c r="D32" s="7">
        <f t="shared" si="1"/>
        <v>0.639705882352941</v>
      </c>
    </row>
    <row r="33" spans="1:4">
      <c r="A33" s="5" t="s">
        <v>35</v>
      </c>
      <c r="B33" s="6">
        <v>56</v>
      </c>
      <c r="C33" s="6">
        <v>22.8</v>
      </c>
      <c r="D33" s="7">
        <f t="shared" si="1"/>
        <v>0.592857142857143</v>
      </c>
    </row>
    <row r="34" spans="1:4">
      <c r="A34" s="5" t="s">
        <v>36</v>
      </c>
      <c r="B34" s="6">
        <v>48</v>
      </c>
      <c r="C34" s="6">
        <v>14.65</v>
      </c>
      <c r="D34" s="7">
        <f t="shared" si="1"/>
        <v>0.694791666666667</v>
      </c>
    </row>
    <row r="35" spans="1:4">
      <c r="A35" s="5" t="s">
        <v>37</v>
      </c>
      <c r="B35" s="6">
        <v>78</v>
      </c>
      <c r="C35" s="6">
        <v>25</v>
      </c>
      <c r="D35" s="7">
        <f t="shared" si="1"/>
        <v>0.67948717948718</v>
      </c>
    </row>
    <row r="36" spans="1:4">
      <c r="A36" s="5" t="s">
        <v>38</v>
      </c>
      <c r="B36" s="6">
        <v>38</v>
      </c>
      <c r="C36" s="6">
        <v>14.85</v>
      </c>
      <c r="D36" s="7">
        <f t="shared" si="1"/>
        <v>0.609210526315789</v>
      </c>
    </row>
    <row r="37" spans="1:4">
      <c r="A37" s="5" t="s">
        <v>39</v>
      </c>
      <c r="B37" s="6">
        <v>58</v>
      </c>
      <c r="C37" s="6">
        <v>22.8</v>
      </c>
      <c r="D37" s="7">
        <f t="shared" si="1"/>
        <v>0.606896551724138</v>
      </c>
    </row>
    <row r="38" spans="1:4">
      <c r="A38" s="3" t="s">
        <v>40</v>
      </c>
      <c r="B38" s="6">
        <v>22</v>
      </c>
      <c r="C38" s="6">
        <v>7.355</v>
      </c>
      <c r="D38" s="7">
        <f t="shared" si="1"/>
        <v>0.665681818181818</v>
      </c>
    </row>
    <row r="39" spans="1:4">
      <c r="A39" s="5" t="s">
        <v>41</v>
      </c>
      <c r="B39" s="6">
        <v>68</v>
      </c>
      <c r="C39" s="6">
        <v>21.8</v>
      </c>
      <c r="D39" s="7">
        <f t="shared" si="1"/>
        <v>0.679411764705882</v>
      </c>
    </row>
    <row r="40" spans="1:4">
      <c r="A40" s="3" t="s">
        <v>42</v>
      </c>
      <c r="B40" s="6">
        <v>62</v>
      </c>
      <c r="C40" s="6">
        <v>25.5</v>
      </c>
      <c r="D40" s="7">
        <f t="shared" si="1"/>
        <v>0.588709677419355</v>
      </c>
    </row>
    <row r="41" spans="1:4">
      <c r="A41" s="5" t="s">
        <v>43</v>
      </c>
      <c r="B41" s="6">
        <v>90</v>
      </c>
      <c r="C41" s="6">
        <v>39.5</v>
      </c>
      <c r="D41" s="7">
        <f t="shared" si="1"/>
        <v>0.561111111111111</v>
      </c>
    </row>
    <row r="42" spans="1:4">
      <c r="A42" s="5" t="s">
        <v>44</v>
      </c>
      <c r="B42" s="6">
        <v>98</v>
      </c>
      <c r="C42" s="8">
        <v>41.8</v>
      </c>
      <c r="D42" s="7">
        <f t="shared" si="1"/>
        <v>0.573469387755102</v>
      </c>
    </row>
    <row r="43" spans="1:4">
      <c r="A43" s="5" t="s">
        <v>45</v>
      </c>
      <c r="B43" s="6">
        <v>78</v>
      </c>
      <c r="C43" s="8">
        <v>35.77</v>
      </c>
      <c r="D43" s="7">
        <v>0.541410256410256</v>
      </c>
    </row>
    <row r="44" spans="1:4">
      <c r="A44" s="5" t="s">
        <v>46</v>
      </c>
      <c r="B44" s="6">
        <v>15</v>
      </c>
      <c r="C44" s="6">
        <v>6.85</v>
      </c>
      <c r="D44" s="7">
        <f t="shared" ref="D44:D58" si="2">(B44-C44)/B44</f>
        <v>0.543333333333333</v>
      </c>
    </row>
    <row r="45" spans="1:4">
      <c r="A45" s="5" t="s">
        <v>47</v>
      </c>
      <c r="B45" s="6">
        <v>32</v>
      </c>
      <c r="C45" s="6">
        <v>14.5</v>
      </c>
      <c r="D45" s="7">
        <f t="shared" si="2"/>
        <v>0.546875</v>
      </c>
    </row>
    <row r="46" spans="1:4">
      <c r="A46" s="5" t="s">
        <v>48</v>
      </c>
      <c r="B46" s="6">
        <v>78</v>
      </c>
      <c r="C46" s="6">
        <v>36.8</v>
      </c>
      <c r="D46" s="7">
        <f t="shared" si="2"/>
        <v>0.528205128205128</v>
      </c>
    </row>
    <row r="47" spans="1:4">
      <c r="A47" s="5" t="s">
        <v>49</v>
      </c>
      <c r="B47" s="6">
        <v>56</v>
      </c>
      <c r="C47" s="6">
        <v>23.5</v>
      </c>
      <c r="D47" s="7">
        <f t="shared" si="2"/>
        <v>0.580357142857143</v>
      </c>
    </row>
    <row r="48" spans="1:4">
      <c r="A48" s="3" t="s">
        <v>50</v>
      </c>
      <c r="B48" s="6">
        <v>62</v>
      </c>
      <c r="C48" s="6">
        <v>25.78</v>
      </c>
      <c r="D48" s="7">
        <f t="shared" si="2"/>
        <v>0.584193548387097</v>
      </c>
    </row>
    <row r="49" spans="1:4">
      <c r="A49" s="5" t="s">
        <v>51</v>
      </c>
      <c r="B49" s="6">
        <v>42</v>
      </c>
      <c r="C49" s="6">
        <v>16.5</v>
      </c>
      <c r="D49" s="7">
        <f t="shared" si="2"/>
        <v>0.607142857142857</v>
      </c>
    </row>
    <row r="50" spans="1:4">
      <c r="A50" s="5" t="s">
        <v>52</v>
      </c>
      <c r="B50" s="6">
        <v>68</v>
      </c>
      <c r="C50" s="6">
        <v>25</v>
      </c>
      <c r="D50" s="7">
        <f t="shared" si="2"/>
        <v>0.632352941176471</v>
      </c>
    </row>
    <row r="51" spans="1:4">
      <c r="A51" s="3" t="s">
        <v>53</v>
      </c>
      <c r="B51" s="6">
        <v>18</v>
      </c>
      <c r="C51" s="6">
        <v>11.69</v>
      </c>
      <c r="D51" s="7">
        <f t="shared" si="2"/>
        <v>0.350555555555556</v>
      </c>
    </row>
    <row r="52" spans="1:4">
      <c r="A52" s="5" t="s">
        <v>54</v>
      </c>
      <c r="B52" s="6">
        <v>48</v>
      </c>
      <c r="C52" s="6">
        <v>22.5</v>
      </c>
      <c r="D52" s="7">
        <f t="shared" si="2"/>
        <v>0.53125</v>
      </c>
    </row>
    <row r="53" spans="1:4">
      <c r="A53" s="5" t="s">
        <v>55</v>
      </c>
      <c r="B53" s="6">
        <v>22</v>
      </c>
      <c r="C53" s="6">
        <v>8.5</v>
      </c>
      <c r="D53" s="7">
        <f t="shared" si="2"/>
        <v>0.613636363636364</v>
      </c>
    </row>
    <row r="54" spans="1:4">
      <c r="A54" s="3" t="s">
        <v>56</v>
      </c>
      <c r="B54" s="6">
        <v>98</v>
      </c>
      <c r="C54" s="6">
        <v>35.5</v>
      </c>
      <c r="D54" s="7">
        <f t="shared" si="2"/>
        <v>0.637755102040816</v>
      </c>
    </row>
    <row r="55" spans="1:4">
      <c r="A55" s="5" t="s">
        <v>57</v>
      </c>
      <c r="B55" s="6">
        <v>168</v>
      </c>
      <c r="C55" s="6">
        <v>74</v>
      </c>
      <c r="D55" s="7">
        <f t="shared" si="2"/>
        <v>0.55952380952381</v>
      </c>
    </row>
    <row r="56" spans="1:4">
      <c r="A56" s="5" t="s">
        <v>58</v>
      </c>
      <c r="B56" s="6">
        <v>29</v>
      </c>
      <c r="C56" s="6">
        <v>5.8</v>
      </c>
      <c r="D56" s="7">
        <f t="shared" si="2"/>
        <v>0.8</v>
      </c>
    </row>
    <row r="57" spans="1:4">
      <c r="A57" s="5" t="s">
        <v>59</v>
      </c>
      <c r="B57" s="6">
        <v>56</v>
      </c>
      <c r="C57" s="6">
        <v>22.18</v>
      </c>
      <c r="D57" s="7">
        <f t="shared" si="2"/>
        <v>0.603928571428571</v>
      </c>
    </row>
    <row r="58" spans="1:4">
      <c r="A58" s="3" t="s">
        <v>60</v>
      </c>
      <c r="B58" s="6">
        <v>18</v>
      </c>
      <c r="C58" s="6">
        <v>4</v>
      </c>
      <c r="D58" s="7">
        <f t="shared" si="2"/>
        <v>0.777777777777778</v>
      </c>
    </row>
    <row r="59" spans="1:4">
      <c r="A59" s="3" t="s">
        <v>61</v>
      </c>
      <c r="B59" s="6">
        <v>28</v>
      </c>
      <c r="C59" s="6">
        <v>7.4</v>
      </c>
      <c r="D59" s="9">
        <v>0.735714285714286</v>
      </c>
    </row>
    <row r="60" spans="1:4">
      <c r="A60" s="1" t="s">
        <v>62</v>
      </c>
      <c r="B60" s="2">
        <v>100</v>
      </c>
      <c r="C60" s="2">
        <v>98</v>
      </c>
      <c r="D60" s="10">
        <f>C60/B60</f>
        <v>0.98</v>
      </c>
    </row>
    <row r="61" spans="1:5">
      <c r="A61" s="1" t="s">
        <v>63</v>
      </c>
      <c r="B61" s="2">
        <v>69</v>
      </c>
      <c r="C61" s="2">
        <v>59</v>
      </c>
      <c r="E61" s="2" t="s">
        <v>64</v>
      </c>
    </row>
  </sheetData>
  <autoFilter xmlns:etc="http://www.wps.cn/officeDocument/2017/etCustomData" ref="A1:D60" etc:filterBottomFollowUsedRange="0">
    <extLst/>
  </autoFilter>
  <sortState ref="A2:D58">
    <sortCondition ref="A2" descending="1"/>
  </sortState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靳雅婷</dc:creator>
  <cp:lastModifiedBy>毕文帅</cp:lastModifiedBy>
  <dcterms:created xsi:type="dcterms:W3CDTF">2023-05-13T02:15:00Z</dcterms:created>
  <dcterms:modified xsi:type="dcterms:W3CDTF">2026-01-23T12:01:03Z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29B3338573F91499B7B06869C5C73D5C_43</vt:lpwstr>
  </property>
  <property fmtid="{D5CDD505-2E9C-101B-9397-08002B2CF9AE}" pid="4" name="CalculationRule">
    <vt:i4>0</vt:i4>
  </property>
</Properties>
</file>